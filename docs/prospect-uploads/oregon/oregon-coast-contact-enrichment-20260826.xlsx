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1a865ce3e34e45" /></Relationships>
</file>

<file path=xl/workbook.xml><?xml version="1.0" encoding="utf-8"?>
<x:workbook xmlns:x="http://schemas.openxmlformats.org/spreadsheetml/2006/main">
  <x:sheets>
    <x:sheet xmlns:r="http://schemas.openxmlformats.org/officeDocument/2006/relationships" name="Contact Enrichment" sheetId="1" r:id="Rd712c49f1c8a43dd"/>
    <x:sheet xmlns:r="http://schemas.openxmlformats.org/officeDocument/2006/relationships" name="Summary" sheetId="2" r:id="R1677a97161c6406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color rgb="FF1F2937"/>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wrapText="1"/>
    </x:xf>
    <x:xf numFmtId="0" fontId="3" fillId="3" borderId="1" xfId="0" applyNumberFormat="1" applyFont="1" applyFill="1" applyBorder="1" applyAlignment="1">
      <x:alignment wrapText="1"/>
    </x:xf>
  </x:cellXfs>
  <x:cellStyles count="1">
    <x:cellStyle name="Normal" xfId="0"/>
  </x:cellStyles>
  <x:dxfs count="5">
    <x:dxf>
      <x:font>
        <x:b/>
        <x:color rgb="FF166534"/>
      </x:font>
      <x:fill>
        <x:patternFill patternType="solid">
          <x:bgColor rgb="FFDCFCE7"/>
        </x:patternFill>
      </x:fill>
    </x:dxf>
    <x:dxf>
      <x:font>
        <x:color rgb="FF92400E"/>
      </x:font>
      <x:fill>
        <x:patternFill patternType="solid">
          <x:bgColor rgb="FFFEF3C7"/>
        </x:patternFill>
      </x:fill>
    </x:dxf>
    <x:dxf>
      <x:font>
        <x:color rgb="FF991B1B"/>
      </x:font>
      <x:fill>
        <x:patternFill patternType="solid">
          <x:bgColor rgb="FFFEE2E2"/>
        </x:patternFill>
      </x:fill>
    </x:dxf>
    <x:dxf>
      <x:font>
        <x:b/>
        <x:color rgb="FF166534"/>
      </x:font>
      <x:fill>
        <x:patternFill patternType="solid">
          <x:bgColor rgb="FFDCFCE7"/>
        </x:patternFill>
      </x:fill>
    </x:dxf>
    <x:dxf>
      <x:font>
        <x:b/>
        <x:color rgb="FF9D174D"/>
      </x:font>
      <x:fill>
        <x:patternFill patternType="solid">
          <x:bgColor rgb="FFFCE7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8ecfdc91b464e2b" /><Relationship Type="http://schemas.openxmlformats.org/officeDocument/2006/relationships/theme" Target="/xl/theme/theme1.xml" Id="Rda93c0025da2417d" /><Relationship Type="http://schemas.openxmlformats.org/officeDocument/2006/relationships/sharedStrings" Target="/xl/sharedStrings.xml" Id="R557e09ce3cee49ba" /><Relationship Type="http://schemas.openxmlformats.org/officeDocument/2006/relationships/worksheet" Target="/xl/worksheets/sheet1.xml" Id="Rd712c49f1c8a43dd" /><Relationship Type="http://schemas.openxmlformats.org/officeDocument/2006/relationships/worksheet" Target="/xl/worksheets/sheet2.xml" Id="R1677a97161c64061" /></Relationships>
</file>

<file path=xl/tables/table1.xml><?xml version="1.0" encoding="utf-8"?>
<x:table xmlns:x="http://schemas.openxmlformats.org/spreadsheetml/2006/main" id="1" name="OregonContactEnrichment" displayName="OregonContactEnrichment" ref="A1:R36" headerRowCount="1" totalsRowCount="0" totalsRowShown="0">
  <x:tableColumns count="18">
    <x:tableColumn id="1" name="#"/>
    <x:tableColumn id="2" name="Store"/>
    <x:tableColumn id="3" name="City"/>
    <x:tableColumn id="4" name="Address"/>
    <x:tableColumn id="5" name="CRM Phone"/>
    <x:tableColumn id="6" name="Verified Phone"/>
    <x:tableColumn id="7" name="Website URL"/>
    <x:tableColumn id="8" name="Public Email"/>
    <x:tableColumn id="9" name="Contact / Info URL"/>
    <x:tableColumn id="10" name="Primary Contact"/>
    <x:tableColumn id="11" name="Role"/>
    <x:tableColumn id="12" name="LinkedIn Verification"/>
    <x:tableColumn id="13" name="LinkedIn URL"/>
    <x:tableColumn id="14" name="Confidence"/>
    <x:tableColumn id="15" name="Source URL 1"/>
    <x:tableColumn id="16" name="Source URL 2"/>
    <x:tableColumn id="17" name="Notes / CRM Correction"/>
    <x:tableColumn id="18" name="Researched As Of"/>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5eeb01cb242435d" /></Relationships>
</file>

<file path=xl/worksheets/sheet1.xml><?xml version="1.0" encoding="utf-8"?>
<x:worksheet xmlns:x="http://schemas.openxmlformats.org/spreadsheetml/2006/main">
  <x:sheetFormatPr defaultRowHeight="15"/>
  <x:cols>
    <x:col min="1" max="1" width="5" hidden="0" customWidth="1"/>
    <x:col min="2" max="2" width="34" hidden="0" customWidth="1"/>
    <x:col min="3" max="3" width="16" hidden="0" customWidth="1"/>
    <x:col min="4" max="4" width="38" hidden="0" customWidth="1"/>
    <x:col min="5" max="5" width="16" hidden="0" customWidth="1"/>
    <x:col min="6" max="6" width="16" hidden="0" customWidth="1"/>
    <x:col min="7" max="7" width="42" hidden="0" customWidth="1"/>
    <x:col min="8" max="8" width="34" hidden="0" customWidth="1"/>
    <x:col min="9" max="9" width="44" hidden="0" customWidth="1"/>
    <x:col min="10" max="10" width="28" hidden="0" customWidth="1"/>
    <x:col min="11" max="11" width="34" hidden="0" customWidth="1"/>
    <x:col min="12" max="12" width="22" hidden="0" customWidth="1"/>
    <x:col min="13" max="13" width="42" hidden="0" customWidth="1"/>
    <x:col min="14" max="14" width="14" hidden="0" customWidth="1"/>
    <x:col min="15" max="15" width="46" hidden="0" customWidth="1"/>
    <x:col min="16" max="16" width="46" hidden="0" customWidth="1"/>
    <x:col min="17" max="17" width="64" hidden="0" customWidth="1"/>
    <x:col min="18" max="18" width="16" hidden="0" customWidth="1"/>
  </x:cols>
  <x:sheetData>
    <x:row r="1" ht="32" customHeight="1">
      <x:c r="A1" s="6" t="str">
        <x:v>#</x:v>
      </x:c>
      <x:c r="B1" s="6" t="str">
        <x:v>Store</x:v>
      </x:c>
      <x:c r="C1" s="6" t="str">
        <x:v>City</x:v>
      </x:c>
      <x:c r="D1" s="6" t="str">
        <x:v>Address</x:v>
      </x:c>
      <x:c r="E1" s="6" t="str">
        <x:v>CRM Phone</x:v>
      </x:c>
      <x:c r="F1" s="6" t="str">
        <x:v>Verified Phone</x:v>
      </x:c>
      <x:c r="G1" s="6" t="str">
        <x:v>Website URL</x:v>
      </x:c>
      <x:c r="H1" s="6" t="str">
        <x:v>Public Email</x:v>
      </x:c>
      <x:c r="I1" s="6" t="str">
        <x:v>Contact / Info URL</x:v>
      </x:c>
      <x:c r="J1" s="6" t="str">
        <x:v>Primary Contact</x:v>
      </x:c>
      <x:c r="K1" s="6" t="str">
        <x:v>Role</x:v>
      </x:c>
      <x:c r="L1" s="6" t="str">
        <x:v>LinkedIn Verification</x:v>
      </x:c>
      <x:c r="M1" s="6" t="str">
        <x:v>LinkedIn URL</x:v>
      </x:c>
      <x:c r="N1" s="6" t="str">
        <x:v>Confidence</x:v>
      </x:c>
      <x:c r="O1" s="6" t="str">
        <x:v>Source URL 1</x:v>
      </x:c>
      <x:c r="P1" s="6" t="str">
        <x:v>Source URL 2</x:v>
      </x:c>
      <x:c r="Q1" s="6" t="str">
        <x:v>Notes / CRM Correction</x:v>
      </x:c>
      <x:c r="R1" s="6" t="str">
        <x:v>Researched As Of</x:v>
      </x:c>
    </x:row>
    <x:row r="2">
      <x:c r="A2" s="14" t="n">
        <x:v>1</x:v>
      </x:c>
      <x:c r="B2" s="14" t="str">
        <x:v>Newport Ace Hardware &amp; Outdoor</x:v>
      </x:c>
      <x:c r="C2" s="14" t="str">
        <x:v>Newport</x:v>
      </x:c>
      <x:c r="D2" s="14" t="str">
        <x:v>2340 N Coast Hwy, Newport, OR 97365</x:v>
      </x:c>
      <x:c r="E2" s="14" t="str">
        <x:v>541-272-5440</x:v>
      </x:c>
      <x:c r="F2" s="14" t="str">
        <x:v>541-272-5440</x:v>
      </x:c>
      <x:c r="G2" s="14" t="str">
        <x:v>https://www.acehardware.com/store-details/16983</x:v>
      </x:c>
      <x:c r="H2" s="14" t="str">
        <x:v>Not publicly found</x:v>
      </x:c>
      <x:c r="I2" s="14" t="str">
        <x:v>https://business.newportchamber.org/list/Details/newport-ace-hardware-outdoor-2809316</x:v>
      </x:c>
      <x:c r="J2" s="14" t="str">
        <x:v>Bob Leis</x:v>
      </x:c>
      <x:c r="K2" s="14" t="str">
        <x:v>Owner</x:v>
      </x:c>
      <x:c r="L2" s="14" t="str">
        <x:v>Verified</x:v>
      </x:c>
      <x:c r="M2" s="14" t="str">
        <x:v>https://www.linkedin.com/in/bob-leis-1b4a2512</x:v>
      </x:c>
      <x:c r="N2" s="14" t="str">
        <x:v>High</x:v>
      </x:c>
      <x:c r="O2" s="14" t="str">
        <x:v>https://business.newportchamber.org/list/Details/newport-ace-hardware-outdoor-2809316</x:v>
      </x:c>
      <x:c r="P2" s="14" t="str">
        <x:v>https://www.linkedin.com/in/bob-leis-1b4a2512</x:v>
      </x:c>
      <x:c r="Q2" s="14" t="str">
        <x:v>Current chamber identifies Bob Leis as owner; public LinkedIn shows Newport Ace Hardware and outdoor.</x:v>
      </x:c>
      <x:c r="R2" s="14" t="str">
        <x:v>2026-08-26</x:v>
      </x:c>
    </x:row>
    <x:row r="3">
      <x:c r="A3" s="14" t="n">
        <x:v>2</x:v>
      </x:c>
      <x:c r="B3" s="14" t="str">
        <x:v>Chetco Outdoor Store</x:v>
      </x:c>
      <x:c r="C3" s="14" t="str">
        <x:v>Brookings</x:v>
      </x:c>
      <x:c r="D3" s="14" t="str">
        <x:v>16220 Hoffeldt Ln, Brookings, OR 97415</x:v>
      </x:c>
      <x:c r="E3" s="14" t="str">
        <x:v>541-469-9151</x:v>
      </x:c>
      <x:c r="F3" s="14" t="str">
        <x:v>541-469-9151</x:v>
      </x:c>
      <x:c r="G3" s="14" t="str">
        <x:v>Not publicly found</x:v>
      </x:c>
      <x:c r="H3" s="14" t="str">
        <x:v>Not publicly found</x:v>
      </x:c>
      <x:c r="I3" s="14" t="str">
        <x:v>https://www.dfw.state.or.us/resources/licenses_regs/</x:v>
      </x:c>
      <x:c r="J3" s="14" t="str">
        <x:v>Jim Carey</x:v>
      </x:c>
      <x:c r="K3" s="14" t="str">
        <x:v>Owner (historical; current role not independently reverified)</x:v>
      </x:c>
      <x:c r="L3" s="14" t="str">
        <x:v>Not found</x:v>
      </x:c>
      <x:c r="M3" s="14" t="str"/>
      <x:c r="N3" s="14" t="str">
        <x:v>Medium-Low</x:v>
      </x:c>
      <x:c r="O3" s="14" t="str">
        <x:v>https://www.dfw.state.or.us/resources/licenses_regs/</x:v>
      </x:c>
      <x:c r="P3" s="14" t="str">
        <x:v>https://brookingsfishing.blogspot.com/2015/04/ocean-salmon-season-approved-4-15-2015.html</x:v>
      </x:c>
      <x:c r="Q3" s="14" t="str">
        <x:v>Business is current in ODFW. Jim Carey ownership evidence is historical (2015); reverify by phone before outreach.</x:v>
      </x:c>
      <x:c r="R3" s="14" t="str">
        <x:v>2026-08-26</x:v>
      </x:c>
    </x:row>
    <x:row r="4">
      <x:c r="A4" s="14" t="n">
        <x:v>3</x:v>
      </x:c>
      <x:c r="B4" s="14" t="str">
        <x:v>Gunners Sport Shop</x:v>
      </x:c>
      <x:c r="C4" s="14" t="str">
        <x:v>Brookings</x:v>
      </x:c>
      <x:c r="D4" s="14" t="str">
        <x:v>97797 S Bank Chetco River Rd, Brookings, OR 97415</x:v>
      </x:c>
      <x:c r="E4" s="14" t="str">
        <x:v>541-412-7015</x:v>
      </x:c>
      <x:c r="F4" s="14" t="str">
        <x:v>541-412-7015</x:v>
      </x:c>
      <x:c r="G4" s="14" t="str">
        <x:v>No verified standalone site</x:v>
      </x:c>
      <x:c r="H4" s="14" t="str">
        <x:v>egunners@FRONTIER.COM</x:v>
      </x:c>
      <x:c r="I4" s="14" t="str">
        <x:v>https://vortexoptics.com/storelocator/gunners-sport-shop1183</x:v>
      </x:c>
      <x:c r="J4" s="14" t="str">
        <x:v>Ernest J. Boardman</x:v>
      </x:c>
      <x:c r="K4" s="14" t="str">
        <x:v>Owner / current FFL licensee</x:v>
      </x:c>
      <x:c r="L4" s="14" t="str">
        <x:v>Not found</x:v>
      </x:c>
      <x:c r="M4" s="14" t="str"/>
      <x:c r="N4" s="14" t="str">
        <x:v>High</x:v>
      </x:c>
      <x:c r="O4" s="14" t="str">
        <x:v>https://vortexoptics.com/storelocator/gunners-sport-shop1183</x:v>
      </x:c>
      <x:c r="P4" s="14" t="str">
        <x:v>https://masterffl.com/ffl-dealers/gunners-sport-shop-gunner-97415-brookings-or-260810590/</x:v>
      </x:c>
      <x:c r="Q4" s="14" t="str">
        <x:v>Email is published by Vortex dealer locator; current FFL data ties Ernest J. Boardman to the business.</x:v>
      </x:c>
      <x:c r="R4" s="14" t="str">
        <x:v>2026-08-26</x:v>
      </x:c>
    </x:row>
    <x:row r="5">
      <x:c r="A5" s="14" t="n">
        <x:v>4</x:v>
      </x:c>
      <x:c r="B5" s="14" t="str">
        <x:v>Nestucca Valley Sporting Goods</x:v>
      </x:c>
      <x:c r="C5" s="14" t="str">
        <x:v>Hebo</x:v>
      </x:c>
      <x:c r="D5" s="14" t="str">
        <x:v>30760 Hwy 101 S, Hebo, OR 97122</x:v>
      </x:c>
      <x:c r="E5" s="14" t="str">
        <x:v>503-392-4269</x:v>
      </x:c>
      <x:c r="F5" s="14" t="str">
        <x:v>503-392-4269</x:v>
      </x:c>
      <x:c r="G5" s="14" t="str">
        <x:v>https://www.nestuccavalleysportinggoods2.com/</x:v>
      </x:c>
      <x:c r="H5" s="14" t="str">
        <x:v>Not publicly found</x:v>
      </x:c>
      <x:c r="I5" s="14" t="str">
        <x:v>https://www.nestuccavalleysportinggoods2.com/contact-us.html</x:v>
      </x:c>
      <x:c r="J5" s="14" t="str">
        <x:v>Duane (JR) Hobbs</x:v>
      </x:c>
      <x:c r="K5" s="14" t="str">
        <x:v>Owner</x:v>
      </x:c>
      <x:c r="L5" s="14" t="str">
        <x:v>Verified</x:v>
      </x:c>
      <x:c r="M5" s="14" t="str">
        <x:v>https://www.linkedin.com/in/duane-jr-hobbs-71a503162</x:v>
      </x:c>
      <x:c r="N5" s="14" t="str">
        <x:v>High</x:v>
      </x:c>
      <x:c r="O5" s="14" t="str">
        <x:v>https://www.nestuccavalleysportinggoods2.com/about-us.html</x:v>
      </x:c>
      <x:c r="P5" s="14" t="str">
        <x:v>https://www.linkedin.com/in/duane-jr-hobbs-71a503162</x:v>
      </x:c>
      <x:c r="Q5" s="14" t="str">
        <x:v>Official About page identifies JR and Vy as owners; public LinkedIn independently matches Duane (JR) Hobbs to the store.</x:v>
      </x:c>
      <x:c r="R5" s="14" t="str">
        <x:v>2026-08-26</x:v>
      </x:c>
    </x:row>
    <x:row r="6">
      <x:c r="A6" s="14" t="n">
        <x:v>5</x:v>
      </x:c>
      <x:c r="B6" s="14" t="str">
        <x:v>Rogue Outdoor Store</x:v>
      </x:c>
      <x:c r="C6" s="14" t="str">
        <x:v>Gold Beach</x:v>
      </x:c>
      <x:c r="D6" s="14" t="str">
        <x:v>29865 Ellensburg Ave, Gold Beach, OR 97444</x:v>
      </x:c>
      <x:c r="E6" s="14" t="str">
        <x:v>541-247-7142</x:v>
      </x:c>
      <x:c r="F6" s="14" t="str">
        <x:v>541-247-7142</x:v>
      </x:c>
      <x:c r="G6" s="14" t="str">
        <x:v>No verified standalone site</x:v>
      </x:c>
      <x:c r="H6" s="14" t="str">
        <x:v>ccarey@wellspoken.com</x:v>
      </x:c>
      <x:c r="I6" s="14" t="str">
        <x:v>https://www.oregonswildriverscoast.com/guides/rogue-outdoorstore</x:v>
      </x:c>
      <x:c r="J6" s="14" t="str">
        <x:v>James H. Carey Jr</x:v>
      </x:c>
      <x:c r="K6" s="14" t="str">
        <x:v>Principal / current FFL contact person</x:v>
      </x:c>
      <x:c r="L6" s="14" t="str">
        <x:v>Not found</x:v>
      </x:c>
      <x:c r="M6" s="14" t="str"/>
      <x:c r="N6" s="14" t="str">
        <x:v>Medium-High</x:v>
      </x:c>
      <x:c r="O6" s="14" t="str">
        <x:v>https://masterffl.com/ffl-dealers/rogue-outdoor-store-gold-beach-or-507191225/</x:v>
      </x:c>
      <x:c r="P6" s="14" t="str">
        <x:v>https://www.allbiz.com/business/rogue-outdoor-store-541-247-7142</x:v>
      </x:c>
      <x:c r="Q6" s="14" t="str">
        <x:v>Current FFL record names James H. Carey Jr; public email is from a secondary directory and should be reconfirmed before outreach.</x:v>
      </x:c>
      <x:c r="R6" s="14" t="str">
        <x:v>2026-08-26</x:v>
      </x:c>
    </x:row>
    <x:row r="7">
      <x:c r="A7" s="14" t="n">
        <x:v>6</x:v>
      </x:c>
      <x:c r="B7" s="14" t="str">
        <x:v>Scout Outpost by Lincoln City Sporting Goods</x:v>
      </x:c>
      <x:c r="C7" s="14" t="str">
        <x:v>Lincoln City</x:v>
      </x:c>
      <x:c r="D7" s="14" t="str">
        <x:v>800 SE Hwy 101, Lincoln City, OR 97367</x:v>
      </x:c>
      <x:c r="E7" s="14" t="str">
        <x:v>541-996-4747</x:v>
      </x:c>
      <x:c r="F7" s="14" t="str">
        <x:v>541-996-4747</x:v>
      </x:c>
      <x:c r="G7" s="14" t="str">
        <x:v>https://www.lcsportinggoods.com/</x:v>
      </x:c>
      <x:c r="H7" s="14" t="str">
        <x:v>hello@lcsportinggoods.com</x:v>
      </x:c>
      <x:c r="I7" s="14" t="str">
        <x:v>https://www.lcsportinggoods.com/</x:v>
      </x:c>
      <x:c r="J7" s="14" t="str">
        <x:v>Aaron Linfoot</x:v>
      </x:c>
      <x:c r="K7" s="14" t="str">
        <x:v>Owner</x:v>
      </x:c>
      <x:c r="L7" s="14" t="str">
        <x:v>Partial public match</x:v>
      </x:c>
      <x:c r="M7" s="14" t="str">
        <x:v>https://www.linkedin.com/pub/dir/%2B/Linfoot/us-0-United-States</x:v>
      </x:c>
      <x:c r="N7" s="14" t="str">
        <x:v>High</x:v>
      </x:c>
      <x:c r="O7" s="14" t="str">
        <x:v>https://lincolncityhomepage.com/time-for-young-guns-to-take-over/</x:v>
      </x:c>
      <x:c r="P7" s="14" t="str">
        <x:v>https://www.lcsportinggoods.com/</x:v>
      </x:c>
      <x:c r="Q7" s="14" t="str">
        <x:v>Bruce Polvi sold the store to Aaron Linfoot effective Jan. 1, 2024. Public LinkedIn index has an Aaron L. in Lincoln City, but the indexed result does not expose the company role.</x:v>
      </x:c>
      <x:c r="R7" s="14" t="str">
        <x:v>2026-08-26</x:v>
      </x:c>
    </x:row>
    <x:row r="8">
      <x:c r="A8" s="14" t="n">
        <x:v>7</x:v>
      </x:c>
      <x:c r="B8" s="14" t="str">
        <x:v>Tillamook Sporting Goods</x:v>
      </x:c>
      <x:c r="C8" s="14" t="str">
        <x:v>Tillamook</x:v>
      </x:c>
      <x:c r="D8" s="14" t="str">
        <x:v>2207 Main Ave N, Ste B, Tillamook, OR 97141</x:v>
      </x:c>
      <x:c r="E8" s="14" t="str">
        <x:v>503-842-4334</x:v>
      </x:c>
      <x:c r="F8" s="14" t="str">
        <x:v>503-842-4334</x:v>
      </x:c>
      <x:c r="G8" s="14" t="str">
        <x:v>http://www.tillamooksportinggoods.com/index.html</x:v>
      </x:c>
      <x:c r="H8" s="14" t="str">
        <x:v>Not publicly found</x:v>
      </x:c>
      <x:c r="I8" s="14" t="str">
        <x:v>https://www.bbb.org/us/or/tillamook/profile/sporting-goods-retail/tillamook-sporting-goods-1296-69002514</x:v>
      </x:c>
      <x:c r="J8" s="14" t="str">
        <x:v>Mary Lou Hathaway</x:v>
      </x:c>
      <x:c r="K8" s="14" t="str">
        <x:v>Owner</x:v>
      </x:c>
      <x:c r="L8" s="14" t="str">
        <x:v>Not found</x:v>
      </x:c>
      <x:c r="M8" s="14" t="str"/>
      <x:c r="N8" s="14" t="str">
        <x:v>Medium-High</x:v>
      </x:c>
      <x:c r="O8" s="14" t="str">
        <x:v>https://www.bbb.org/us/or/tillamook/profile/sporting-goods-retail/tillamook-sporting-goods-1296-69002514</x:v>
      </x:c>
      <x:c r="P8" s="14" t="str">
        <x:v>http://www.tillamooksportinggoods.com/index.html</x:v>
      </x:c>
      <x:c r="Q8" s="14" t="str">
        <x:v>BBB currently lists Mary Lou Hathaway as owner. No public email found.</x:v>
      </x:c>
      <x:c r="R8" s="14" t="str">
        <x:v>2026-08-26</x:v>
      </x:c>
    </x:row>
    <x:row r="9">
      <x:c r="A9" s="14" t="n">
        <x:v>8</x:v>
      </x:c>
      <x:c r="B9" s="14" t="str">
        <x:v>Bandon Bait Shop</x:v>
      </x:c>
      <x:c r="C9" s="14" t="str">
        <x:v>Bandon</x:v>
      </x:c>
      <x:c r="D9" s="14" t="str">
        <x:v>110 First St, Bandon, OR</x:v>
      </x:c>
      <x:c r="E9" s="14" t="str">
        <x:v>541-347-3905</x:v>
      </x:c>
      <x:c r="F9" s="14" t="str">
        <x:v>541-347-3905</x:v>
      </x:c>
      <x:c r="G9" s="14" t="str">
        <x:v>https://www.bandonbait.net/</x:v>
      </x:c>
      <x:c r="H9" s="14" t="str">
        <x:v>bandonbait@yahoo.com</x:v>
      </x:c>
      <x:c r="I9" s="14" t="str">
        <x:v>https://www.bandonbait.net/contact</x:v>
      </x:c>
      <x:c r="J9" s="14" t="str">
        <x:v>Brian Foley</x:v>
      </x:c>
      <x:c r="K9" s="14" t="str">
        <x:v>Owner</x:v>
      </x:c>
      <x:c r="L9" s="14" t="str">
        <x:v>Not found</x:v>
      </x:c>
      <x:c r="M9" s="14" t="str"/>
      <x:c r="N9" s="14" t="str">
        <x:v>High</x:v>
      </x:c>
      <x:c r="O9" s="14" t="str">
        <x:v>https://www.bandonbait.net/contact</x:v>
      </x:c>
      <x:c r="P9" s="14" t="str">
        <x:v>https://www.bandon-or.gov/media/17656</x:v>
      </x:c>
      <x:c r="Q9" s="14" t="str">
        <x:v>Official site provides email; 2024 City/Port materials identify Brian Foley as the new owner.</x:v>
      </x:c>
      <x:c r="R9" s="14" t="str">
        <x:v>2026-08-26</x:v>
      </x:c>
    </x:row>
    <x:row r="10">
      <x:c r="A10" s="14" t="n">
        <x:v>9</x:v>
      </x:c>
      <x:c r="B10" s="14" t="str">
        <x:v>ShrimpDaddy's Bait &amp; Tackle</x:v>
      </x:c>
      <x:c r="C10" s="14" t="str">
        <x:v>Waldport</x:v>
      </x:c>
      <x:c r="D10" s="14" t="str">
        <x:v>385 NE Spencer St, Waldport, OR 97394</x:v>
      </x:c>
      <x:c r="E10" s="14" t="str">
        <x:v>541-563-9682</x:v>
      </x:c>
      <x:c r="F10" s="14" t="str">
        <x:v>541-563-9682</x:v>
      </x:c>
      <x:c r="G10" s="14" t="str">
        <x:v>https://www.shrimpdaddysoregon.com/</x:v>
      </x:c>
      <x:c r="H10" s="14" t="str">
        <x:v>shrimpdaddyllc@gmail.com</x:v>
      </x:c>
      <x:c r="I10" s="14" t="str">
        <x:v>https://www.shrimpdaddysoregon.com/</x:v>
      </x:c>
      <x:c r="J10" s="14" t="str">
        <x:v>Not publicly found</x:v>
      </x:c>
      <x:c r="K10" s="14" t="str">
        <x:v>Not publicly found</x:v>
      </x:c>
      <x:c r="L10" s="14" t="str">
        <x:v>Not applicable</x:v>
      </x:c>
      <x:c r="M10" s="14" t="str"/>
      <x:c r="N10" s="14" t="str">
        <x:v>High</x:v>
      </x:c>
      <x:c r="O10" s="14" t="str">
        <x:v>https://www.shrimpdaddysoregon.com/</x:v>
      </x:c>
      <x:c r="P10" s="14" t="str">
        <x:v>https://www.dfw.state.or.us/resources/licenses_regs/</x:v>
      </x:c>
      <x:c r="Q10" s="14" t="str">
        <x:v>Official website publishes phone/email. No reliable owner/buyer name found. ODFW may show a conflicting alternate phone; use the official site first.</x:v>
      </x:c>
      <x:c r="R10" s="14" t="str">
        <x:v>2026-08-26</x:v>
      </x:c>
    </x:row>
    <x:row r="11">
      <x:c r="A11" s="14" t="n">
        <x:v>10</x:v>
      </x:c>
      <x:c r="B11" s="14" t="str">
        <x:v>U Save Gas &amp; Tackle</x:v>
      </x:c>
      <x:c r="C11" s="14" t="str">
        <x:v>Grants Pass</x:v>
      </x:c>
      <x:c r="D11" s="14" t="str">
        <x:v>935 Rogue River Hwy, Grants Pass, OR 97527</x:v>
      </x:c>
      <x:c r="E11" s="14" t="str">
        <x:v>541-440-0486</x:v>
      </x:c>
      <x:c r="F11" s="14" t="str">
        <x:v>541-476-9871</x:v>
      </x:c>
      <x:c r="G11" s="14" t="str">
        <x:v>Not publicly found</x:v>
      </x:c>
      <x:c r="H11" s="14" t="str">
        <x:v>Not publicly found</x:v>
      </x:c>
      <x:c r="I11" s="14" t="str">
        <x:v>https://business.grantspasschamber.org/list/member/u-save-gas-tackle-14290.htm</x:v>
      </x:c>
      <x:c r="J11" s="14" t="str">
        <x:v>Derek Henkels / Rhiannon Henkels</x:v>
      </x:c>
      <x:c r="K11" s="14" t="str">
        <x:v>Owners</x:v>
      </x:c>
      <x:c r="L11" s="14" t="str">
        <x:v>Not found</x:v>
      </x:c>
      <x:c r="M11" s="14" t="str"/>
      <x:c r="N11" s="14" t="str">
        <x:v>High</x:v>
      </x:c>
      <x:c r="O11" s="14" t="str">
        <x:v>https://business.grantspasschamber.org/list/member/u-save-gas-tackle-14290.htm</x:v>
      </x:c>
      <x:c r="P11" s="14" t="str">
        <x:v>https://www.dfw.state.or.us/resources/licenses_regs/</x:v>
      </x:c>
      <x:c r="Q11" s="14" t="str">
        <x:v>CRM correction: current Chamber and ODFW place this business in Grants Pass, not Harbor, and show 541-476-9871. Both Derek and Rhiannon Henkels are listed as owners.</x:v>
      </x:c>
      <x:c r="R11" s="14" t="str">
        <x:v>2026-08-26</x:v>
      </x:c>
    </x:row>
    <x:row r="12">
      <x:c r="A12" s="14" t="n">
        <x:v>11</x:v>
      </x:c>
      <x:c r="B12" s="14" t="str">
        <x:v>Coyote Rock RV &amp; Marina</x:v>
      </x:c>
      <x:c r="C12" s="14" t="str">
        <x:v>Lincoln City</x:v>
      </x:c>
      <x:c r="D12" s="14" t="str">
        <x:v>1676 Siletz Hwy, Lincoln City, OR 97367</x:v>
      </x:c>
      <x:c r="E12" s="14" t="str">
        <x:v>541-996-6824</x:v>
      </x:c>
      <x:c r="F12" s="14" t="str">
        <x:v>541-996-6824</x:v>
      </x:c>
      <x:c r="G12" s="14" t="str">
        <x:v>https://coyote-rock.com/</x:v>
      </x:c>
      <x:c r="H12" s="14" t="str">
        <x:v>coyoterockrv@yahoo.com</x:v>
      </x:c>
      <x:c r="I12" s="14" t="str">
        <x:v>https://coyote-rock.com/</x:v>
      </x:c>
      <x:c r="J12" s="14" t="str">
        <x:v>Ivan Todd</x:v>
      </x:c>
      <x:c r="K12" s="14" t="str">
        <x:v>Owner</x:v>
      </x:c>
      <x:c r="L12" s="14" t="str">
        <x:v>Not found</x:v>
      </x:c>
      <x:c r="M12" s="14" t="str"/>
      <x:c r="N12" s="14" t="str">
        <x:v>Medium-High</x:v>
      </x:c>
      <x:c r="O12" s="14" t="str">
        <x:v>https://coyote-rock.com/</x:v>
      </x:c>
      <x:c r="P12" s="14" t="str">
        <x:v>https://www.bbb.org/us/or/lincoln-city/profile/campgrounds/coyote-rock-rv-marina-1296-22096657</x:v>
      </x:c>
      <x:c r="Q12" s="14" t="str">
        <x:v>Official site publishes email; BBB identifies Ivan Todd as owner.</x:v>
      </x:c>
      <x:c r="R12" s="14" t="str">
        <x:v>2026-08-26</x:v>
      </x:c>
    </x:row>
    <x:row r="13">
      <x:c r="A13" s="14" t="n">
        <x:v>12</x:v>
      </x:c>
      <x:c r="B13" s="14" t="str">
        <x:v>Englund Marine Supply – Astoria (HQ)</x:v>
      </x:c>
      <x:c r="C13" s="14" t="str">
        <x:v>Astoria</x:v>
      </x:c>
      <x:c r="D13" s="14" t="str">
        <x:v>95 Hamburg Ave, Astoria, OR 97103</x:v>
      </x:c>
      <x:c r="E13" s="14" t="str">
        <x:v>503-325-4341</x:v>
      </x:c>
      <x:c r="F13" s="14" t="str">
        <x:v>503-325-4341</x:v>
      </x:c>
      <x:c r="G13" s="14" t="str">
        <x:v>https://www.englundmarine.com/</x:v>
      </x:c>
      <x:c r="H13" s="14" t="str">
        <x:v>customersupport@englundmarine.com</x:v>
      </x:c>
      <x:c r="I13" s="14" t="str">
        <x:v>https://www.englundmarine.com/pages/locations.html</x:v>
      </x:c>
      <x:c r="J13" s="14" t="str">
        <x:v>Kurt Englund</x:v>
      </x:c>
      <x:c r="K13" s="14" t="str">
        <x:v>President</x:v>
      </x:c>
      <x:c r="L13" s="14" t="str">
        <x:v>Not found</x:v>
      </x:c>
      <x:c r="M13" s="14" t="str"/>
      <x:c r="N13" s="14" t="str">
        <x:v>High</x:v>
      </x:c>
      <x:c r="O13" s="14" t="str">
        <x:v>https://www.englundmarine.com/</x:v>
      </x:c>
      <x:c r="P13" s="14" t="str">
        <x:v>https://www.englundmarine.com/pages/locations.html</x:v>
      </x:c>
      <x:c r="Q13" s="14" t="str">
        <x:v>Corporate contact. Public company materials identify Kurt Englund as President; buyer/purchasing contact was not publicly exposed. Purchasing is likely centralized.</x:v>
      </x:c>
      <x:c r="R13" s="14" t="str">
        <x:v>2026-08-26</x:v>
      </x:c>
    </x:row>
    <x:row r="14">
      <x:c r="A14" s="14" t="n">
        <x:v>13</x:v>
      </x:c>
      <x:c r="B14" s="14" t="str">
        <x:v>Englund Marine Supply – Newport</x:v>
      </x:c>
      <x:c r="C14" s="14" t="str">
        <x:v>Newport</x:v>
      </x:c>
      <x:c r="D14" s="14" t="str">
        <x:v>880 SE Bay Blvd, Newport, OR 97365</x:v>
      </x:c>
      <x:c r="E14" s="14" t="str">
        <x:v>541-265-9275</x:v>
      </x:c>
      <x:c r="F14" s="14" t="str">
        <x:v>541-265-9275</x:v>
      </x:c>
      <x:c r="G14" s="14" t="str">
        <x:v>https://www.englundmarine.com/</x:v>
      </x:c>
      <x:c r="H14" s="14" t="str">
        <x:v>customersupport@englundmarine.com</x:v>
      </x:c>
      <x:c r="I14" s="14" t="str">
        <x:v>https://www.englundmarine.com/pages/locations.html</x:v>
      </x:c>
      <x:c r="J14" s="14" t="str">
        <x:v>Kurt Englund</x:v>
      </x:c>
      <x:c r="K14" s="14" t="str">
        <x:v>President (corporate)</x:v>
      </x:c>
      <x:c r="L14" s="14" t="str">
        <x:v>Not found</x:v>
      </x:c>
      <x:c r="M14" s="14" t="str"/>
      <x:c r="N14" s="14" t="str">
        <x:v>High</x:v>
      </x:c>
      <x:c r="O14" s="14" t="str">
        <x:v>https://www.englundmarine.com/pages/locations.html</x:v>
      </x:c>
      <x:c r="P14" s="14" t="str">
        <x:v>https://www.englundmarine.com/</x:v>
      </x:c>
      <x:c r="Q14" s="14" t="str">
        <x:v>Branch-level buyer was not publicly found; use Newport branch phone and ask for the purchasing/buyer contact. Corporate purchasing appears centralized.</x:v>
      </x:c>
      <x:c r="R14" s="14" t="str">
        <x:v>2026-08-26</x:v>
      </x:c>
    </x:row>
    <x:row r="15">
      <x:c r="A15" s="14" t="n">
        <x:v>14</x:v>
      </x:c>
      <x:c r="B15" s="14" t="str">
        <x:v>Kelly's Brighton Marina</x:v>
      </x:c>
      <x:c r="C15" s="14" t="str">
        <x:v>Rockaway Beach</x:v>
      </x:c>
      <x:c r="D15" s="14" t="str">
        <x:v>29200 Hwy 101 N, Rockaway Beach, OR 97136</x:v>
      </x:c>
      <x:c r="E15" s="14" t="str">
        <x:v>503-368-5745</x:v>
      </x:c>
      <x:c r="F15" s="14" t="str">
        <x:v>503-368-5745</x:v>
      </x:c>
      <x:c r="G15" s="14" t="str">
        <x:v>https://kellysbrightonmarina.com/</x:v>
      </x:c>
      <x:c r="H15" s="14" t="str">
        <x:v>kellysbrightonmarina@gmail.com</x:v>
      </x:c>
      <x:c r="I15" s="14" t="str">
        <x:v>https://kellysbrightonmarina.com/about-us</x:v>
      </x:c>
      <x:c r="J15" s="14" t="str">
        <x:v>Colin Davis / Randi Davis</x:v>
      </x:c>
      <x:c r="K15" s="14" t="str">
        <x:v>Owners</x:v>
      </x:c>
      <x:c r="L15" s="14" t="str">
        <x:v>Not found</x:v>
      </x:c>
      <x:c r="M15" s="14" t="str"/>
      <x:c r="N15" s="14" t="str">
        <x:v>High</x:v>
      </x:c>
      <x:c r="O15" s="14" t="str">
        <x:v>https://kellysbrightonmarina.com/about-us</x:v>
      </x:c>
      <x:c r="P15" s="14" t="str">
        <x:v>https://danapointboaters.org/documents/the_log/SLIPS.GUIDE.2024-1.pdf</x:v>
      </x:c>
      <x:c r="Q15" s="14" t="str">
        <x:v>Official About page identifies Colin and Randi Davis as the owners. Email is also published in a marina guide.</x:v>
      </x:c>
      <x:c r="R15" s="14" t="str">
        <x:v>2026-08-26</x:v>
      </x:c>
    </x:row>
    <x:row r="16">
      <x:c r="A16" s="14" t="n">
        <x:v>15</x:v>
      </x:c>
      <x:c r="B16" s="14" t="str">
        <x:v>Newport Marina Store</x:v>
      </x:c>
      <x:c r="C16" s="14" t="str">
        <x:v>Newport</x:v>
      </x:c>
      <x:c r="D16" s="14" t="str">
        <x:v>2128 SE Marine Science Dr, Newport, OR 97365</x:v>
      </x:c>
      <x:c r="E16" s="14" t="str">
        <x:v>541-867-4470</x:v>
      </x:c>
      <x:c r="F16" s="14" t="str">
        <x:v>541-867-4470</x:v>
      </x:c>
      <x:c r="G16" s="14" t="str">
        <x:v>https://nmscharters.com/</x:v>
      </x:c>
      <x:c r="H16" s="14" t="str">
        <x:v>LC@newportmarinastore.com</x:v>
      </x:c>
      <x:c r="I16" s="14" t="str">
        <x:v>https://nmscharters.com/map-contact/</x:v>
      </x:c>
      <x:c r="J16" s="14" t="str">
        <x:v>Lauren Craven</x:v>
      </x:c>
      <x:c r="K16" s="14" t="str">
        <x:v>Owner</x:v>
      </x:c>
      <x:c r="L16" s="14" t="str">
        <x:v>Not found</x:v>
      </x:c>
      <x:c r="M16" s="14" t="str"/>
      <x:c r="N16" s="14" t="str">
        <x:v>High</x:v>
      </x:c>
      <x:c r="O16" s="14" t="str">
        <x:v>https://business.newportchamber.org/list/Details/newport-marina-store-2809290</x:v>
      </x:c>
      <x:c r="P16" s="14" t="str">
        <x:v>https://nmscharters.com/2022/01/07/under-new-ownership/</x:v>
      </x:c>
      <x:c r="Q16" s="14" t="str">
        <x:v>Official/Chamber sources identify Lauren Craven as owner; public email is associated with Newport Marina Store.</x:v>
      </x:c>
      <x:c r="R16" s="14" t="str">
        <x:v>2026-08-26</x:v>
      </x:c>
    </x:row>
    <x:row r="17">
      <x:c r="A17" s="14" t="n">
        <x:v>16</x:v>
      </x:c>
      <x:c r="B17" s="14" t="str">
        <x:v>Port O'Call</x:v>
      </x:c>
      <x:c r="C17" s="14" t="str">
        <x:v>Bandon</x:v>
      </x:c>
      <x:c r="D17" s="14" t="str">
        <x:v>155 1st St SE, Bandon, OR 97411</x:v>
      </x:c>
      <x:c r="E17" s="14" t="str">
        <x:v>541-347-2875</x:v>
      </x:c>
      <x:c r="F17" s="14" t="str">
        <x:v>541-347-2875</x:v>
      </x:c>
      <x:c r="G17" s="14" t="str">
        <x:v>https://www.tonyscrabshack.com/port-o-call/</x:v>
      </x:c>
      <x:c r="H17" s="14" t="str">
        <x:v>tonyscrabshack777@gmail.com</x:v>
      </x:c>
      <x:c r="I17" s="14" t="str">
        <x:v>https://www.tonyscrabshack.com/locations</x:v>
      </x:c>
      <x:c r="J17" s="14" t="str">
        <x:v>Kayt Glazier</x:v>
      </x:c>
      <x:c r="K17" s="14" t="str">
        <x:v>General Manager, Port O'Call Inc.</x:v>
      </x:c>
      <x:c r="L17" s="14" t="str">
        <x:v>Not found</x:v>
      </x:c>
      <x:c r="M17" s="14" t="str"/>
      <x:c r="N17" s="14" t="str">
        <x:v>High</x:v>
      </x:c>
      <x:c r="O17" s="14" t="str">
        <x:v>https://www.tonyscrabshack.com/</x:v>
      </x:c>
      <x:c r="P17" s="14" t="str">
        <x:v>https://www.tonyscrabshack.com/locations</x:v>
      </x:c>
      <x:c r="Q17" s="14" t="str">
        <x:v>Company site identifies Kayt Glazier as General Manager of Port O'Call Inc. The retail operation is tied to Tony's Crab Shack.</x:v>
      </x:c>
      <x:c r="R17" s="14" t="str">
        <x:v>2026-08-26</x:v>
      </x:c>
    </x:row>
    <x:row r="18">
      <x:c r="A18" s="14" t="n">
        <x:v>17</x:v>
      </x:c>
      <x:c r="B18" s="14" t="str">
        <x:v>Port of Alsea Dock of the Bay</x:v>
      </x:c>
      <x:c r="C18" s="14" t="str">
        <x:v>Waldport</x:v>
      </x:c>
      <x:c r="D18" s="14" t="str">
        <x:v>365 Port St, Waldport, OR 97394</x:v>
      </x:c>
      <x:c r="E18" s="14" t="str">
        <x:v>541-563-3872</x:v>
      </x:c>
      <x:c r="F18" s="14" t="str">
        <x:v>541-563-2003</x:v>
      </x:c>
      <x:c r="G18" s="14" t="str">
        <x:v>https://www.portofalsea.com/</x:v>
      </x:c>
      <x:c r="H18" s="14" t="str">
        <x:v>Not publicly found</x:v>
      </x:c>
      <x:c r="I18" s="14" t="str">
        <x:v>https://www.portofalsea.com/dock-of-the-bay-marina-boat-rental-baits-and-market</x:v>
      </x:c>
      <x:c r="J18" s="14" t="str">
        <x:v>Robby (last name not published)</x:v>
      </x:c>
      <x:c r="K18" s="14" t="str">
        <x:v>Dock of the Bay Manager</x:v>
      </x:c>
      <x:c r="L18" s="14" t="str">
        <x:v>Not found</x:v>
      </x:c>
      <x:c r="M18" s="14" t="str"/>
      <x:c r="N18" s="14" t="str">
        <x:v>High</x:v>
      </x:c>
      <x:c r="O18" s="14" t="str">
        <x:v>https://www.portofalsea.com/dock-of-the-bay-marina-boat-rental-baits-and-market</x:v>
      </x:c>
      <x:c r="P18" s="14" t="str">
        <x:v>https://www.portofalsea.com/</x:v>
      </x:c>
      <x:c r="Q18" s="14" t="str">
        <x:v>CRM phone is the Port office. The Dock of the Bay retail/marina page publishes 541-563-2003 and identifies Robby as manager.</x:v>
      </x:c>
      <x:c r="R18" s="14" t="str">
        <x:v>2026-08-26</x:v>
      </x:c>
    </x:row>
    <x:row r="19">
      <x:c r="A19" s="14" t="n">
        <x:v>18</x:v>
      </x:c>
      <x:c r="B19" s="14" t="str">
        <x:v>Wheeler Marina</x:v>
      </x:c>
      <x:c r="C19" s="14" t="str">
        <x:v>Wheeler</x:v>
      </x:c>
      <x:c r="D19" s="14" t="str">
        <x:v>278 Marine Dr, Wheeler, OR 97147</x:v>
      </x:c>
      <x:c r="E19" s="14" t="str">
        <x:v>503-368-5780</x:v>
      </x:c>
      <x:c r="F19" s="14" t="str">
        <x:v>503-368-5780</x:v>
      </x:c>
      <x:c r="G19" s="14" t="str">
        <x:v>https://wheelermarina.com/</x:v>
      </x:c>
      <x:c r="H19" s="14" t="str">
        <x:v>wheelermarina1@gmail.com</x:v>
      </x:c>
      <x:c r="I19" s="14" t="str">
        <x:v>https://wheelermarina.com/</x:v>
      </x:c>
      <x:c r="J19" s="14" t="str">
        <x:v>Jim Neilson</x:v>
      </x:c>
      <x:c r="K19" s="14" t="str">
        <x:v>Owner (secondary-source identification; current role not reverified)</x:v>
      </x:c>
      <x:c r="L19" s="14" t="str">
        <x:v>Not found</x:v>
      </x:c>
      <x:c r="M19" s="14" t="str"/>
      <x:c r="N19" s="14" t="str">
        <x:v>Medium</x:v>
      </x:c>
      <x:c r="O19" s="14" t="str">
        <x:v>https://wheelermarina.com/</x:v>
      </x:c>
      <x:c r="P19" s="14" t="str">
        <x:v>https://danapointboaters.org/documents/the_log/SLIPS.GUIDE.2024-1.pdf</x:v>
      </x:c>
      <x:c r="Q19" s="14" t="str">
        <x:v>Current public marina guide publishes the email. Owner name comes from secondary business data and should be phone-verified before outreach.</x:v>
      </x:c>
      <x:c r="R19" s="14" t="str">
        <x:v>2026-08-26</x:v>
      </x:c>
    </x:row>
    <x:row r="20">
      <x:c r="A20" s="14" t="n">
        <x:v>19</x:v>
      </x:c>
      <x:c r="B20" s="14" t="str">
        <x:v>Second Street Gallery</x:v>
      </x:c>
      <x:c r="C20" s="14" t="str">
        <x:v>Bandon</x:v>
      </x:c>
      <x:c r="D20" s="14" t="str">
        <x:v>210 2nd St SE, Bandon, OR 97411</x:v>
      </x:c>
      <x:c r="E20" s="14" t="str">
        <x:v>541-347-4133</x:v>
      </x:c>
      <x:c r="F20" s="14" t="str">
        <x:v>541-347-4133</x:v>
      </x:c>
      <x:c r="G20" s="14" t="str">
        <x:v>https://secondstreetgallery.net/</x:v>
      </x:c>
      <x:c r="H20" s="14" t="str">
        <x:v>SecondStreetGalleryBandon@gmail.com</x:v>
      </x:c>
      <x:c r="I20" s="14" t="str">
        <x:v>https://bandonor.chambermaster.com/list/member/second-street-gallery-47.htm</x:v>
      </x:c>
      <x:c r="J20" s="14" t="str">
        <x:v>Carrie Kreutzer</x:v>
      </x:c>
      <x:c r="K20" s="14" t="str">
        <x:v>Owner</x:v>
      </x:c>
      <x:c r="L20" s="14" t="str">
        <x:v>Verified</x:v>
      </x:c>
      <x:c r="M20" s="14" t="str">
        <x:v>https://www.linkedin.com/in/carrie-kreutzer-58731b184</x:v>
      </x:c>
      <x:c r="N20" s="14" t="str">
        <x:v>High</x:v>
      </x:c>
      <x:c r="O20" s="14" t="str">
        <x:v>https://bandonor.chambermaster.com/list/member/second-street-gallery-47.htm</x:v>
      </x:c>
      <x:c r="P20" s="14" t="str">
        <x:v>https://www.linkedin.com/in/carrie-kreutzer-58731b184</x:v>
      </x:c>
      <x:c r="Q20" s="14" t="str">
        <x:v>Current Chamber identifies Carrie Kreutzer as owner; public LinkedIn independently matches her to Second Street Gallery. Important domain correction: use .net.</x:v>
      </x:c>
      <x:c r="R20" s="14" t="str">
        <x:v>2026-08-26</x:v>
      </x:c>
    </x:row>
    <x:row r="21">
      <x:c r="A21" s="14" t="n">
        <x:v>20</x:v>
      </x:c>
      <x:c r="B21" s="14" t="str">
        <x:v>Art by the Sea Gallery</x:v>
      </x:c>
      <x:c r="C21" s="14" t="str">
        <x:v>Bandon</x:v>
      </x:c>
      <x:c r="D21" s="14" t="str">
        <x:v>145 Fillmore Ave SE, Bandon, OR 97411</x:v>
      </x:c>
      <x:c r="E21" s="14" t="str">
        <x:v>541-347-5355</x:v>
      </x:c>
      <x:c r="F21" s="14" t="str">
        <x:v>541-347-5355</x:v>
      </x:c>
      <x:c r="G21" s="14" t="str">
        <x:v>https://www.artbytheseagallery.com/</x:v>
      </x:c>
      <x:c r="H21" s="14" t="str">
        <x:v>artbytheseagalleryandstudio@gmail.com</x:v>
      </x:c>
      <x:c r="I21" s="14" t="str">
        <x:v>https://www.artbytheseagallery.com/</x:v>
      </x:c>
      <x:c r="J21" s="14" t="str">
        <x:v>Ava Richey</x:v>
      </x:c>
      <x:c r="K21" s="14" t="str">
        <x:v>Public Chamber contact / artist representative</x:v>
      </x:c>
      <x:c r="L21" s="14" t="str">
        <x:v>Not found</x:v>
      </x:c>
      <x:c r="M21" s="14" t="str"/>
      <x:c r="N21" s="14" t="str">
        <x:v>Medium-High</x:v>
      </x:c>
      <x:c r="O21" s="14" t="str">
        <x:v>https://www.artbytheseagallery.com/</x:v>
      </x:c>
      <x:c r="P21" s="14" t="str">
        <x:v>https://directory.bandon.com/list/member/art-by-the-sea-gallery-375</x:v>
      </x:c>
      <x:c r="Q21" s="14" t="str">
        <x:v>Gallery is a collaborative artist organization. Ava Richey is a public Chamber contact; buyer/owner status is not established.</x:v>
      </x:c>
      <x:c r="R21" s="14" t="str">
        <x:v>2026-08-26</x:v>
      </x:c>
    </x:row>
    <x:row r="22">
      <x:c r="A22" s="14" t="n">
        <x:v>21</x:v>
      </x:c>
      <x:c r="B22" s="14" t="str">
        <x:v>The Loft on 2nd</x:v>
      </x:c>
      <x:c r="C22" s="14" t="str">
        <x:v>Bandon</x:v>
      </x:c>
      <x:c r="D22" s="14" t="str">
        <x:v>120 2nd St SE, Bandon, OR 97411</x:v>
      </x:c>
      <x:c r="E22" s="14" t="str">
        <x:v>541-551-5988</x:v>
      </x:c>
      <x:c r="F22" s="14" t="str">
        <x:v>541-551-5988</x:v>
      </x:c>
      <x:c r="G22" s="14" t="str">
        <x:v>https://theloftonsecond.com/</x:v>
      </x:c>
      <x:c r="H22" s="14" t="str">
        <x:v>Not publicly found</x:v>
      </x:c>
      <x:c r="I22" s="14" t="str">
        <x:v>https://theloftonsecond.com/</x:v>
      </x:c>
      <x:c r="J22" s="14" t="str">
        <x:v>Jeanie Salmon / Chip Salmon</x:v>
      </x:c>
      <x:c r="K22" s="14" t="str">
        <x:v>Owners (last independently confirmed 2022)</x:v>
      </x:c>
      <x:c r="L22" s="14" t="str">
        <x:v>Not found</x:v>
      </x:c>
      <x:c r="M22" s="14" t="str"/>
      <x:c r="N22" s="14" t="str">
        <x:v>Medium</x:v>
      </x:c>
      <x:c r="O22" s="14" t="str">
        <x:v>https://theloftonsecond.com/</x:v>
      </x:c>
      <x:c r="P22" s="14" t="str"/>
      <x:c r="Q22" s="14" t="str">
        <x:v>Owners were identified in local reporting in 2022. No public email found; use website/contact route or phone. A newer Chamber listing has shown a different phone, so reconfirm before visit.</x:v>
      </x:c>
      <x:c r="R22" s="14" t="str">
        <x:v>2026-08-26</x:v>
      </x:c>
    </x:row>
    <x:row r="23">
      <x:c r="A23" s="14" t="n">
        <x:v>22</x:v>
      </x:c>
      <x:c r="B23" s="14" t="str">
        <x:v>Sweet Peas Home and Garden</x:v>
      </x:c>
      <x:c r="C23" s="14" t="str">
        <x:v>Bandon</x:v>
      </x:c>
      <x:c r="D23" s="14" t="str">
        <x:v>155 Baltimore Ave SE, Bandon, OR 97411</x:v>
      </x:c>
      <x:c r="E23" s="14" t="str">
        <x:v>541-329-3967</x:v>
      </x:c>
      <x:c r="F23" s="14" t="str">
        <x:v>530-517-0238</x:v>
      </x:c>
      <x:c r="G23" s="14" t="str">
        <x:v>https://sweetpeashomeandgarden.com/</x:v>
      </x:c>
      <x:c r="H23" s="14" t="str">
        <x:v>Not publicly found</x:v>
      </x:c>
      <x:c r="I23" s="14" t="str">
        <x:v>https://directory.bandon.com/list/member/sweet-pea-s-home-and-garden-396</x:v>
      </x:c>
      <x:c r="J23" s="14" t="str">
        <x:v>Susan Ceccon</x:v>
      </x:c>
      <x:c r="K23" s="14" t="str">
        <x:v>Owner (last independently confirmed 2022)</x:v>
      </x:c>
      <x:c r="L23" s="14" t="str">
        <x:v>Not found</x:v>
      </x:c>
      <x:c r="M23" s="14" t="str"/>
      <x:c r="N23" s="14" t="str">
        <x:v>Medium</x:v>
      </x:c>
      <x:c r="O23" s="14" t="str">
        <x:v>https://directory.bandon.com/list/member/sweet-pea-s-home-and-garden-396</x:v>
      </x:c>
      <x:c r="P23" s="14" t="str">
        <x:v>https://sweetpeashomeandgarden.com/</x:v>
      </x:c>
      <x:c r="Q23" s="14" t="str">
        <x:v>Current Chamber listing shows 530-517-0238, while Chamber Cash still shows 541-329-3967. Reconfirm. Susan Ceccon ownership evidence is older and should be phone-verified.</x:v>
      </x:c>
      <x:c r="R23" s="14" t="str">
        <x:v>2026-08-26</x:v>
      </x:c>
    </x:row>
    <x:row r="24">
      <x:c r="A24" s="14" t="n">
        <x:v>23</x:v>
      </x:c>
      <x:c r="B24" s="14" t="str">
        <x:v>The Toy Room</x:v>
      </x:c>
      <x:c r="C24" s="14" t="str">
        <x:v>Bandon</x:v>
      </x:c>
      <x:c r="D24" s="14" t="str">
        <x:v>295 2nd St SE, Bandon, OR 97411</x:v>
      </x:c>
      <x:c r="E24" s="14" t="str">
        <x:v>541-347-9783</x:v>
      </x:c>
      <x:c r="F24" s="14" t="str">
        <x:v>541-347-9783</x:v>
      </x:c>
      <x:c r="G24" s="14" t="str">
        <x:v>https://www.facebook.com/</x:v>
      </x:c>
      <x:c r="H24" s="14" t="str">
        <x:v>ldavies347@yahoo.com (historical; reverify)</x:v>
      </x:c>
      <x:c r="I24" s="14" t="str">
        <x:v>https://directory.bandon.com/list/member/the-toy-room-129</x:v>
      </x:c>
      <x:c r="J24" s="14" t="str">
        <x:v>Unspecified — conflicting public ownership signals</x:v>
      </x:c>
      <x:c r="K24" s="14" t="str">
        <x:v>Unspecified</x:v>
      </x:c>
      <x:c r="L24" s="14" t="str">
        <x:v>Not verified</x:v>
      </x:c>
      <x:c r="M24" s="14" t="str"/>
      <x:c r="N24" s="14" t="str">
        <x:v>Low</x:v>
      </x:c>
      <x:c r="O24" s="14" t="str">
        <x:v>https://directory.bandon.com/list/member/the-toy-room-129</x:v>
      </x:c>
      <x:c r="P24" s="14" t="str">
        <x:v>https://prospeo.io/c/the-toy-room-email-format</x:v>
      </x:c>
      <x:c r="Q24" s="14" t="str">
        <x:v>Current Chamber confirms the store. Public sources conflict on ownership; the historical email should be reconfirmed by phone before use.</x:v>
      </x:c>
      <x:c r="R24" s="14" t="str">
        <x:v>2026-08-26</x:v>
      </x:c>
    </x:row>
    <x:row r="25">
      <x:c r="A25" s="14" t="n">
        <x:v>24</x:v>
      </x:c>
      <x:c r="B25" s="14" t="str">
        <x:v>Misty Meadows Jams</x:v>
      </x:c>
      <x:c r="C25" s="14" t="str">
        <x:v>Bandon</x:v>
      </x:c>
      <x:c r="D25" s="14" t="str">
        <x:v>48053 US-101, Bandon, OR 97411</x:v>
      </x:c>
      <x:c r="E25" s="14" t="str">
        <x:v>541-347-2575</x:v>
      </x:c>
      <x:c r="F25" s="14" t="str">
        <x:v>541-347-2575</x:v>
      </x:c>
      <x:c r="G25" s="14" t="str">
        <x:v>https://gotjam.com/</x:v>
      </x:c>
      <x:c r="H25" s="14" t="str">
        <x:v>Not publicly found</x:v>
      </x:c>
      <x:c r="I25" s="14" t="str">
        <x:v>https://gotjam.com/contact/</x:v>
      </x:c>
      <x:c r="J25" s="14" t="str">
        <x:v>Traci Keller</x:v>
      </x:c>
      <x:c r="K25" s="14" t="str">
        <x:v>Owner (last explicitly identified 2021)</x:v>
      </x:c>
      <x:c r="L25" s="14" t="str">
        <x:v>Not found</x:v>
      </x:c>
      <x:c r="M25" s="14" t="str"/>
      <x:c r="N25" s="14" t="str">
        <x:v>Medium</x:v>
      </x:c>
      <x:c r="O25" s="14" t="str">
        <x:v>https://gotjam.com/</x:v>
      </x:c>
      <x:c r="P25" s="14" t="str">
        <x:v>https://gotjam.com/contact/</x:v>
      </x:c>
      <x:c r="Q25" s="14" t="str">
        <x:v>Current official site is active and has a contact form. Public ownership reporting identifies Traci Keller, but the explicit owner citation is older.</x:v>
      </x:c>
      <x:c r="R25" s="14" t="str">
        <x:v>2026-08-26</x:v>
      </x:c>
    </x:row>
    <x:row r="26">
      <x:c r="A26" s="14" t="n">
        <x:v>25</x:v>
      </x:c>
      <x:c r="B26" s="14" t="str">
        <x:v>Bandon Card &amp; Gift Shoppe</x:v>
      </x:c>
      <x:c r="C26" s="14" t="str">
        <x:v>Bandon</x:v>
      </x:c>
      <x:c r="D26" s="14" t="str">
        <x:v>265 2nd St SE, Bandon, OR 97411</x:v>
      </x:c>
      <x:c r="E26" s="14" t="str">
        <x:v>541-347-9214</x:v>
      </x:c>
      <x:c r="F26" s="14" t="str">
        <x:v>541-347-9214</x:v>
      </x:c>
      <x:c r="G26" s="14" t="str">
        <x:v>https://www.facebook.com/pages/Bandon-Card-Gift-Shoppe/273356426054639</x:v>
      </x:c>
      <x:c r="H26" s="14" t="str">
        <x:v>Not publicly found</x:v>
      </x:c>
      <x:c r="I26" s="14" t="str">
        <x:v>https://www.facebook.com/pages/Bandon-Card-Gift-Shoppe/273356426054639</x:v>
      </x:c>
      <x:c r="J26" s="14" t="str">
        <x:v>Lynn Davies</x:v>
      </x:c>
      <x:c r="K26" s="14" t="str">
        <x:v>Registrant / publicly associated retail operator</x:v>
      </x:c>
      <x:c r="L26" s="14" t="str">
        <x:v>Not found</x:v>
      </x:c>
      <x:c r="M26" s="14" t="str"/>
      <x:c r="N26" s="14" t="str">
        <x:v>Medium</x:v>
      </x:c>
      <x:c r="O26" s="14" t="str">
        <x:v>https://businessprofiles.com/details/the-bandon-card-38-gift-shoppe/OR-031338-81/lynn-davies</x:v>
      </x:c>
      <x:c r="P26" s="14" t="str">
        <x:v>https://directory.bandon.com/</x:v>
      </x:c>
      <x:c r="Q26" s="14" t="str">
        <x:v>Lynn Davies is publicly associated with Bandon Card &amp; Gift and the related By the Sea Treasures / Toy Room group. Buyer role should still be confirmed.</x:v>
      </x:c>
      <x:c r="R26" s="14" t="str">
        <x:v>2026-08-26</x:v>
      </x:c>
    </x:row>
    <x:row r="27">
      <x:c r="A27" s="14" t="n">
        <x:v>26</x:v>
      </x:c>
      <x:c r="B27" s="14" t="str">
        <x:v>Sassy Seagull (Bandon Store)</x:v>
      </x:c>
      <x:c r="C27" s="14" t="str">
        <x:v>Bandon</x:v>
      </x:c>
      <x:c r="D27" s="14" t="str">
        <x:v>198 2nd St SE, Bandon, OR 97411</x:v>
      </x:c>
      <x:c r="E27" s="14" t="str">
        <x:v>541-777-7147</x:v>
      </x:c>
      <x:c r="F27" s="14" t="str">
        <x:v>541-777-7147</x:v>
      </x:c>
      <x:c r="G27" s="14" t="str">
        <x:v>Not publicly found</x:v>
      </x:c>
      <x:c r="H27" s="14" t="str">
        <x:v>Not publicly found</x:v>
      </x:c>
      <x:c r="I27" s="14" t="str">
        <x:v>https://directory.bandon.com/list/member/the-sassy-seagull-582</x:v>
      </x:c>
      <x:c r="J27" s="14" t="str">
        <x:v>Not publicly found</x:v>
      </x:c>
      <x:c r="K27" s="14" t="str">
        <x:v>Not publicly found</x:v>
      </x:c>
      <x:c r="L27" s="14" t="str">
        <x:v>Not applicable</x:v>
      </x:c>
      <x:c r="M27" s="14" t="str"/>
      <x:c r="N27" s="14" t="str">
        <x:v>Medium</x:v>
      </x:c>
      <x:c r="O27" s="14" t="str">
        <x:v>https://directory.bandon.com/list/member/the-sassy-seagull-582</x:v>
      </x:c>
      <x:c r="P27" s="14" t="str">
        <x:v>https://bandon.com/chambercash/</x:v>
      </x:c>
      <x:c r="Q27" s="14" t="str">
        <x:v>Current Chamber listing verifies the store and phone but does not expose the email behind its Send Email function, and no reliable named owner/buyer was found.</x:v>
      </x:c>
      <x:c r="R27" s="14" t="str">
        <x:v>2026-08-26</x:v>
      </x:c>
    </x:row>
    <x:row r="28">
      <x:c r="A28" s="14" t="n">
        <x:v>27</x:v>
      </x:c>
      <x:c r="B28" s="14" t="str">
        <x:v>Spirit of Oregon</x:v>
      </x:c>
      <x:c r="C28" s="14" t="str">
        <x:v>Bandon</x:v>
      </x:c>
      <x:c r="D28" s="14" t="str">
        <x:v>112 2nd St, Bandon, OR 97411</x:v>
      </x:c>
      <x:c r="E28" s="14" t="str">
        <x:v>541-347-4311</x:v>
      </x:c>
      <x:c r="F28" s="14" t="str">
        <x:v>541-347-4311</x:v>
      </x:c>
      <x:c r="G28" s="14" t="str">
        <x:v>Not publicly found</x:v>
      </x:c>
      <x:c r="H28" s="14" t="str">
        <x:v>Not publicly found</x:v>
      </x:c>
      <x:c r="I28" s="14" t="str">
        <x:v>https://directory.bandon.com/list/member/spirit-of-oregon-bandon-122</x:v>
      </x:c>
      <x:c r="J28" s="14" t="str">
        <x:v>Jack Porter</x:v>
      </x:c>
      <x:c r="K28" s="14" t="str">
        <x:v>Store operator / manager (legal ownership not confirmed)</x:v>
      </x:c>
      <x:c r="L28" s="14" t="str">
        <x:v>Not found</x:v>
      </x:c>
      <x:c r="M28" s="14" t="str"/>
      <x:c r="N28" s="14" t="str">
        <x:v>Medium-High</x:v>
      </x:c>
      <x:c r="O28" s="14" t="str">
        <x:v>https://directory.bandon.com/list/member/spirit-of-oregon-bandon-122</x:v>
      </x:c>
      <x:c r="P28" s="14" t="str"/>
      <x:c r="Q28" s="14" t="str">
        <x:v>Recent local reporting identifies Jack Porter as the person running the store. Treat as operational contact rather than verified legal owner.</x:v>
      </x:c>
      <x:c r="R28" s="14" t="str">
        <x:v>2026-08-26</x:v>
      </x:c>
    </x:row>
    <x:row r="29">
      <x:c r="A29" s="14" t="n">
        <x:v>28</x:v>
      </x:c>
      <x:c r="B29" s="14" t="str">
        <x:v>Winter River Books</x:v>
      </x:c>
      <x:c r="C29" s="14" t="str">
        <x:v>Bandon</x:v>
      </x:c>
      <x:c r="D29" s="14" t="str">
        <x:v>170 2nd St SE, Bandon, OR 97411</x:v>
      </x:c>
      <x:c r="E29" s="14" t="str">
        <x:v>541-347-4111</x:v>
      </x:c>
      <x:c r="F29" s="14" t="str">
        <x:v>541-347-4111</x:v>
      </x:c>
      <x:c r="G29" s="14" t="str">
        <x:v>http://www.winterriverbooks.com/</x:v>
      </x:c>
      <x:c r="H29" s="14" t="str">
        <x:v>Not publicly found</x:v>
      </x:c>
      <x:c r="I29" s="14" t="str">
        <x:v>https://directory.bandon.com/list/member/winter-river-books-50</x:v>
      </x:c>
      <x:c r="J29" s="14" t="str">
        <x:v>Brian Foley / Veronica Foley</x:v>
      </x:c>
      <x:c r="K29" s="14" t="str">
        <x:v>Owners (secondary current-source identification)</x:v>
      </x:c>
      <x:c r="L29" s="14" t="str">
        <x:v>Not found</x:v>
      </x:c>
      <x:c r="M29" s="14" t="str"/>
      <x:c r="N29" s="14" t="str">
        <x:v>Medium</x:v>
      </x:c>
      <x:c r="O29" s="14" t="str">
        <x:v>https://directory.bandon.com/list/member/winter-river-books-50</x:v>
      </x:c>
      <x:c r="P29" s="14" t="str">
        <x:v>https://mywinterriver.com/</x:v>
      </x:c>
      <x:c r="Q29" s="14" t="str">
        <x:v>Current Chamber verifies the store. Secondary current sources identify Brian and Veronica Foley after a 2018 sale; older mywinterriver.com owner/property content is stale.</x:v>
      </x:c>
      <x:c r="R29" s="14" t="str">
        <x:v>2026-08-26</x:v>
      </x:c>
    </x:row>
    <x:row r="30">
      <x:c r="A30" s="14" t="n">
        <x:v>29</x:v>
      </x:c>
      <x:c r="B30" s="14" t="str">
        <x:v>Bandon Dunes Golf Resort (Pro Shop)</x:v>
      </x:c>
      <x:c r="C30" s="14" t="str">
        <x:v>Bandon</x:v>
      </x:c>
      <x:c r="D30" s="14" t="str">
        <x:v>57744 Round Lake Rd, Bandon, OR 97411</x:v>
      </x:c>
      <x:c r="E30" s="14" t="str">
        <x:v>541-347-4380</x:v>
      </x:c>
      <x:c r="F30" s="14" t="str">
        <x:v>541-347-4380</x:v>
      </x:c>
      <x:c r="G30" s="14" t="str">
        <x:v>https://www.bandondunesgolf.com/</x:v>
      </x:c>
      <x:c r="H30" s="14" t="str">
        <x:v>Not publicly found</x:v>
      </x:c>
      <x:c r="I30" s="14" t="str">
        <x:v>https://www.bandondunesgolf.com/</x:v>
      </x:c>
      <x:c r="J30" s="14" t="str">
        <x:v>Teal Hamner</x:v>
      </x:c>
      <x:c r="K30" s="14" t="str">
        <x:v>Resort Retail Manager</x:v>
      </x:c>
      <x:c r="L30" s="14" t="str">
        <x:v>Verified</x:v>
      </x:c>
      <x:c r="M30" s="14" t="str">
        <x:v>https://www.linkedin.com/in/teal-hamner-1017071b1</x:v>
      </x:c>
      <x:c r="N30" s="14" t="str">
        <x:v>High</x:v>
      </x:c>
      <x:c r="O30" s="14" t="str">
        <x:v>https://www.linkedin.com/in/teal-hamner-1017071b1</x:v>
      </x:c>
      <x:c r="P30" s="14" t="str">
        <x:v>https://www.bandondunesgolf.com/</x:v>
      </x:c>
      <x:c r="Q30" s="14" t="str">
        <x:v>Excellent direct retail contact: public LinkedIn states Teal Hamner currently serves as Resort Retail Manager at Bandon Dunes Golf Resort.</x:v>
      </x:c>
      <x:c r="R30" s="14" t="str">
        <x:v>2026-08-26</x:v>
      </x:c>
    </x:row>
    <x:row r="31">
      <x:c r="A31" s="14" t="n">
        <x:v>30</x:v>
      </x:c>
      <x:c r="B31" s="14" t="str">
        <x:v>Safari Town Surf Shop</x:v>
      </x:c>
      <x:c r="C31" s="14" t="str">
        <x:v>Lincoln City</x:v>
      </x:c>
      <x:c r="D31" s="14" t="str">
        <x:v>3026 NE Hwy 101 Suite 3, Lincoln City, OR 97367</x:v>
      </x:c>
      <x:c r="E31" s="14" t="str">
        <x:v>541-996-6335</x:v>
      </x:c>
      <x:c r="F31" s="14" t="str">
        <x:v>541-996-6335</x:v>
      </x:c>
      <x:c r="G31" s="14" t="str">
        <x:v>https://safaritownsurf.com/</x:v>
      </x:c>
      <x:c r="H31" s="14" t="str">
        <x:v>safaritown@gmail.com</x:v>
      </x:c>
      <x:c r="I31" s="14" t="str">
        <x:v>https://safaritownsurf.com/about</x:v>
      </x:c>
      <x:c r="J31" s="14" t="str">
        <x:v>Tony Gile</x:v>
      </x:c>
      <x:c r="K31" s="14" t="str">
        <x:v>Owner / Founder</x:v>
      </x:c>
      <x:c r="L31" s="14" t="str">
        <x:v>Not found</x:v>
      </x:c>
      <x:c r="M31" s="14" t="str"/>
      <x:c r="N31" s="14" t="str">
        <x:v>High</x:v>
      </x:c>
      <x:c r="O31" s="14" t="str">
        <x:v>https://www.bbb.org/us/or/lincoln-city/profile/sporting-goods-retail/safari-town-surf-shop-1296-22104598</x:v>
      </x:c>
      <x:c r="P31" s="14" t="str">
        <x:v>https://safaritownsurf.com/about</x:v>
      </x:c>
      <x:c r="Q31" s="14" t="str">
        <x:v>BBB lists Tony Gile as owner; official site documents the founding story and current family operation. Public email is published on the site.</x:v>
      </x:c>
      <x:c r="R31" s="14" t="str">
        <x:v>2026-08-26</x:v>
      </x:c>
    </x:row>
    <x:row r="32">
      <x:c r="A32" s="14" t="n">
        <x:v>31</x:v>
      </x:c>
      <x:c r="B32" s="14" t="str">
        <x:v>By the Sea Treasures</x:v>
      </x:c>
      <x:c r="C32" s="14" t="str">
        <x:v>Bandon</x:v>
      </x:c>
      <x:c r="D32" s="14" t="str">
        <x:v>275 2nd St SE, Bandon, OR 97411</x:v>
      </x:c>
      <x:c r="E32" s="14" t="str">
        <x:v>541-329-1184</x:v>
      </x:c>
      <x:c r="F32" s="14" t="str">
        <x:v>541-329-1184</x:v>
      </x:c>
      <x:c r="G32" s="14" t="str">
        <x:v>https://www.facebook.com/pages/By-the-Sea-Treasures/216688965079850</x:v>
      </x:c>
      <x:c r="H32" s="14" t="str">
        <x:v>Not publicly found</x:v>
      </x:c>
      <x:c r="I32" s="14" t="str">
        <x:v>https://directory.bandon.com/list/member/by-the-sea-treasures-77</x:v>
      </x:c>
      <x:c r="J32" s="14" t="str">
        <x:v>Lynn Davies</x:v>
      </x:c>
      <x:c r="K32" s="14" t="str">
        <x:v>Publicly associated retail operator</x:v>
      </x:c>
      <x:c r="L32" s="14" t="str">
        <x:v>Not found</x:v>
      </x:c>
      <x:c r="M32" s="14" t="str"/>
      <x:c r="N32" s="14" t="str">
        <x:v>Medium</x:v>
      </x:c>
      <x:c r="O32" s="14" t="str">
        <x:v>https://directory.bandon.com/list/member/by-the-sea-treasures-77</x:v>
      </x:c>
      <x:c r="P32" s="14" t="str">
        <x:v>https://www.facebook.com/pages/By-the-Sea-Treasures/216688965079850</x:v>
      </x:c>
      <x:c r="Q32" s="14" t="str">
        <x:v>Lynn Davies is publicly associated with this and the related Bandon Card &amp; Gift / Toy Room stores. Confirm buyer/ownership role. Chamber supports 275 2nd St.</x:v>
      </x:c>
      <x:c r="R32" s="14" t="str">
        <x:v>2026-08-26</x:v>
      </x:c>
    </x:row>
    <x:row r="33">
      <x:c r="A33" s="14" t="n">
        <x:v>32</x:v>
      </x:c>
      <x:c r="B33" s="14" t="str">
        <x:v>The Market Place</x:v>
      </x:c>
      <x:c r="C33" s="14" t="str">
        <x:v>Brookings</x:v>
      </x:c>
      <x:c r="D33" s="14" t="str">
        <x:v>668 Chetco Ave, Brookings, OR 97415</x:v>
      </x:c>
      <x:c r="E33" s="14" t="str">
        <x:v>541-469-9753</x:v>
      </x:c>
      <x:c r="F33" s="14" t="str">
        <x:v>541-469-9753</x:v>
      </x:c>
      <x:c r="G33" s="14" t="str">
        <x:v>No verified standalone site</x:v>
      </x:c>
      <x:c r="H33" s="14" t="str">
        <x:v>Not publicly found</x:v>
      </x:c>
      <x:c r="I33" s="14" t="str">
        <x:v>https://visittheoregoncoast.com/cities/brookings/activities/the-market-place/</x:v>
      </x:c>
      <x:c r="J33" s="14" t="str">
        <x:v>Alexis Warne</x:v>
      </x:c>
      <x:c r="K33" s="14" t="str">
        <x:v>Authorized Representative / Registrant; buyer role not confirmed</x:v>
      </x:c>
      <x:c r="L33" s="14" t="str">
        <x:v>Not found</x:v>
      </x:c>
      <x:c r="M33" s="14" t="str"/>
      <x:c r="N33" s="14" t="str">
        <x:v>Medium-Low</x:v>
      </x:c>
      <x:c r="O33" s="14" t="str">
        <x:v>https://visittheoregoncoast.com/cities/brookings/activities/the-market-place/</x:v>
      </x:c>
      <x:c r="P33" s="14" t="str">
        <x:v>https://businessprofiles.com/details/the-market-place/OR-334023-89</x:v>
      </x:c>
      <x:c r="Q33" s="14" t="str">
        <x:v>Alexis Warne is tied to the active Oregon entity as authorized representative/registrant, but that does not establish merchandise-buying responsibility.</x:v>
      </x:c>
      <x:c r="R33" s="14" t="str">
        <x:v>2026-08-26</x:v>
      </x:c>
    </x:row>
    <x:row r="34">
      <x:c r="A34" s="14" t="n">
        <x:v>33</x:v>
      </x:c>
      <x:c r="B34" s="14" t="str">
        <x:v>Salty Raven – Cannon Beach</x:v>
      </x:c>
      <x:c r="C34" s="14" t="str">
        <x:v>Cannon Beach</x:v>
      </x:c>
      <x:c r="D34" s="14" t="str">
        <x:v>179 E 1st Ave Suite 105, Cannon Beach, OR 97110</x:v>
      </x:c>
      <x:c r="E34" s="14" t="str">
        <x:v>503-436-4355</x:v>
      </x:c>
      <x:c r="F34" s="14" t="str">
        <x:v>503-436-4355</x:v>
      </x:c>
      <x:c r="G34" s="14" t="str">
        <x:v>https://saltyraven.net/</x:v>
      </x:c>
      <x:c r="H34" s="14" t="str">
        <x:v>info@saltyraven.net</x:v>
      </x:c>
      <x:c r="I34" s="14" t="str">
        <x:v>https://saltyraven.net/pages/about</x:v>
      </x:c>
      <x:c r="J34" s="14" t="str">
        <x:v>Seasons Kaz Sparks</x:v>
      </x:c>
      <x:c r="K34" s="14" t="str">
        <x:v>Founder / creator / owner</x:v>
      </x:c>
      <x:c r="L34" s="14" t="str">
        <x:v>Not found</x:v>
      </x:c>
      <x:c r="M34" s="14" t="str"/>
      <x:c r="N34" s="14" t="str">
        <x:v>High</x:v>
      </x:c>
      <x:c r="O34" s="14" t="str">
        <x:v>https://saltyraven.net/pages/about</x:v>
      </x:c>
      <x:c r="P34" s="14" t="str">
        <x:v>https://saltyraven.net/</x:v>
      </x:c>
      <x:c r="Q34" s="14" t="str">
        <x:v>Official site identifies Seasons Kaz Sparks and explicitly directs wholesale inquiries to info@saltyraven.net.</x:v>
      </x:c>
      <x:c r="R34" s="14" t="str">
        <x:v>2026-08-26</x:v>
      </x:c>
    </x:row>
    <x:row r="35">
      <x:c r="A35" s="14" t="n">
        <x:v>34</x:v>
      </x:c>
      <x:c r="B35" s="14" t="str">
        <x:v>Cleanline Surf – Seaside</x:v>
      </x:c>
      <x:c r="C35" s="14" t="str">
        <x:v>Seaside</x:v>
      </x:c>
      <x:c r="D35" s="14" t="str">
        <x:v>60 N Roosevelt Dr, Seaside, OR 97138</x:v>
      </x:c>
      <x:c r="E35" s="14" t="str">
        <x:v>503-738-7888</x:v>
      </x:c>
      <x:c r="F35" s="14" t="str">
        <x:v>503-738-7888</x:v>
      </x:c>
      <x:c r="G35" s="14" t="str">
        <x:v>https://www.cleanlinesurf.com/</x:v>
      </x:c>
      <x:c r="H35" s="14" t="str">
        <x:v>support@cleanlinesurf.com</x:v>
      </x:c>
      <x:c r="I35" s="14" t="str">
        <x:v>https://www.cleanlinesurf.com/pages/contact-us</x:v>
      </x:c>
      <x:c r="J35" s="14" t="str">
        <x:v>Josh Gizdavich</x:v>
      </x:c>
      <x:c r="K35" s="14" t="str">
        <x:v>Owner / Founder</x:v>
      </x:c>
      <x:c r="L35" s="14" t="str">
        <x:v>Not found for owner role</x:v>
      </x:c>
      <x:c r="M35" s="14" t="str"/>
      <x:c r="N35" s="14" t="str">
        <x:v>High</x:v>
      </x:c>
      <x:c r="O35" s="14" t="str">
        <x:v>https://www.cleanlinesurf.com/pages/contact-us</x:v>
      </x:c>
      <x:c r="P35" s="14" t="str">
        <x:v>https://www.seasideor.com/stories/sharing-the-stoke-with-surf-shop-owner-josh-gizdavich/</x:v>
      </x:c>
      <x:c r="Q35" s="14" t="str">
        <x:v>Current tourism profile identifies Josh Gizdavich as owner; official site provides centralized support contact. Purchasing likely centralized across stores.</x:v>
      </x:c>
      <x:c r="R35" s="14" t="str">
        <x:v>2026-08-26</x:v>
      </x:c>
    </x:row>
    <x:row r="36">
      <x:c r="A36" s="14" t="n">
        <x:v>35</x:v>
      </x:c>
      <x:c r="B36" s="14" t="str">
        <x:v>Cleanline Surf – Cannon Beach</x:v>
      </x:c>
      <x:c r="C36" s="14" t="str">
        <x:v>Cannon Beach</x:v>
      </x:c>
      <x:c r="D36" s="14" t="str">
        <x:v>171 Sunset Blvd, Cannon Beach, OR 97110</x:v>
      </x:c>
      <x:c r="E36" s="14" t="str">
        <x:v>503-436-9726</x:v>
      </x:c>
      <x:c r="F36" s="14" t="str">
        <x:v>503-436-9726</x:v>
      </x:c>
      <x:c r="G36" s="14" t="str">
        <x:v>https://www.cleanlinesurf.com/</x:v>
      </x:c>
      <x:c r="H36" s="14" t="str">
        <x:v>support@cleanlinesurf.com</x:v>
      </x:c>
      <x:c r="I36" s="14" t="str">
        <x:v>https://www.cleanlinesurf.com/pages/contact-us</x:v>
      </x:c>
      <x:c r="J36" s="14" t="str">
        <x:v>Josh Gizdavich</x:v>
      </x:c>
      <x:c r="K36" s="14" t="str">
        <x:v>Owner / Founder</x:v>
      </x:c>
      <x:c r="L36" s="14" t="str">
        <x:v>Not found for owner role</x:v>
      </x:c>
      <x:c r="M36" s="14" t="str"/>
      <x:c r="N36" s="14" t="str">
        <x:v>High</x:v>
      </x:c>
      <x:c r="O36" s="14" t="str">
        <x:v>https://www.cleanlinesurf.com/pages/contact-us</x:v>
      </x:c>
      <x:c r="P36" s="14" t="str">
        <x:v>https://www.seasideor.com/stories/sharing-the-stoke-with-surf-shop-owner-josh-gizdavich/</x:v>
      </x:c>
      <x:c r="Q36" s="14" t="str">
        <x:v>Same ownership and centralized contact as Seaside. Use store phone for local relationship-building; buyer/purchasing is likely centralized.</x:v>
      </x:c>
      <x:c r="R36" s="14" t="str">
        <x:v>2026-08-26</x:v>
      </x:c>
    </x:row>
  </x:sheetData>
  <x:conditionalFormatting sqref="N2:N36">
    <x:cfRule type="expression" dxfId="0" priority="1">
      <x:formula>N2="High"</x:formula>
    </x:cfRule>
    <x:cfRule type="expression" dxfId="1" priority="2">
      <x:formula>OR(N2="Medium-High",N2="Medium")</x:formula>
    </x:cfRule>
    <x:cfRule type="expression" dxfId="2" priority="3">
      <x:formula>OR(N2="Medium-Low",N2="Low")</x:formula>
    </x:cfRule>
  </x:conditionalFormatting>
  <x:conditionalFormatting sqref="L2:L36">
    <x:cfRule type="expression" dxfId="3" priority="4">
      <x:formula>L2="Verified"</x:formula>
    </x:cfRule>
  </x:conditionalFormatting>
  <x:conditionalFormatting sqref="F2:F36">
    <x:cfRule type="expression" dxfId="4" priority="5">
      <x:formula>$E2&lt;&gt;$F2</x:formula>
    </x:cfRule>
  </x:conditionalFormatting>
  <x:pageMargins left="0.7" right="0.7" top="0.75" bottom="0.75" header="0.3" footer="0.3"/>
  <x:tableParts count="1">
    <x:tablePart xmlns:r="http://schemas.openxmlformats.org/officeDocument/2006/relationships" r:id="R05eeb01cb242435d"/>
  </x:tableParts>
</x:worksheet>
</file>

<file path=xl/worksheets/sheet2.xml><?xml version="1.0" encoding="utf-8"?>
<x:worksheet xmlns:x="http://schemas.openxmlformats.org/spreadsheetml/2006/main">
  <x:sheetFormatPr defaultRowHeight="15"/>
  <x:cols>
    <x:col min="1" max="1" width="30" hidden="0" customWidth="1"/>
    <x:col min="2" max="2" width="24" hidden="0" customWidth="1"/>
    <x:col min="3" max="3" width="66" hidden="0" customWidth="1"/>
    <x:col min="4" max="4" width="14" hidden="0" customWidth="1"/>
    <x:col min="5" max="5" width="14" hidden="0" customWidth="1"/>
    <x:col min="6" max="6" width="14" hidden="0" customWidth="1"/>
  </x:cols>
  <x:sheetData>
    <x:row r="1" ht="30" customHeight="1">
      <x:c r="A1" s="18" t="str">
        <x:v>Oregon Coast Prospect Contact Enrichment</x:v>
      </x:c>
      <x:c r="B1" s="18"/>
      <x:c r="C1" s="18"/>
      <x:c r="D1" s="18"/>
      <x:c r="E1" s="18"/>
      <x:c r="F1" s="18"/>
    </x:row>
    <x:row r="3">
      <x:c r="A3" s="26" t="str">
        <x:v>Metric</x:v>
      </x:c>
      <x:c r="B3" s="26" t="str">
        <x:v>Value</x:v>
      </x:c>
      <x:c r="C3" s="26" t="str"/>
      <x:c r="D3" s="26" t="str">
        <x:v>Notes</x:v>
      </x:c>
      <x:c r="E3" s="26" t="str"/>
      <x:c r="F3" s="26" t="str"/>
    </x:row>
    <x:row r="4">
      <x:c r="A4" s="12" t="str">
        <x:v>Prospects researched</x:v>
      </x:c>
      <x:c r="B4" s="12" t="n">
        <x:v>35</x:v>
      </x:c>
      <x:c r="C4" s="12" t="str"/>
      <x:c r="D4" s="12" t="str">
        <x:v>Source batch supplied from CRM export</x:v>
      </x:c>
      <x:c r="E4" s="12" t="str"/>
      <x:c r="F4" s="12" t="str"/>
    </x:row>
    <x:row r="5">
      <x:c r="A5" s="12" t="str">
        <x:v>Public email found / surfaced</x:v>
      </x:c>
      <x:c r="B5" s="12" t="n">
        <x:f>COUNTIF('Contact Enrichment'!H2:H36,"&lt;&gt;Not publicly found")</x:f>
        <x:v>19</x:v>
      </x:c>
      <x:c r="C5" s="12" t="str"/>
      <x:c r="D5" s="12" t="str">
        <x:v>Historical/uncertain emails are explicitly flagged</x:v>
      </x:c>
      <x:c r="E5" s="12" t="str"/>
      <x:c r="F5" s="12" t="str"/>
    </x:row>
    <x:row r="6">
      <x:c r="A6" s="12" t="str">
        <x:v>Named contact surfaced</x:v>
      </x:c>
      <x:c r="B6" s="12" t="n">
        <x:f>B4-COUNTIF('Contact Enrichment'!J2:J36,"Not publicly found")-COUNTIF('Contact Enrichment'!J2:J36,"Unspecified — conflicting public ownership signals")</x:f>
        <x:v>32</x:v>
      </x:c>
      <x:c r="C6" s="12" t="str"/>
      <x:c r="D6" s="12" t="str">
        <x:v>Only when a public source tied the person to the business</x:v>
      </x:c>
      <x:c r="E6" s="12" t="str"/>
      <x:c r="F6" s="12" t="str"/>
    </x:row>
    <x:row r="7">
      <x:c r="A7" s="12" t="str">
        <x:v>LinkedIn role verified</x:v>
      </x:c>
      <x:c r="B7" s="12" t="n">
        <x:f>COUNTIF('Contact Enrichment'!L2:L36,"Verified")</x:f>
        <x:v>4</x:v>
      </x:c>
      <x:c r="C7" s="12" t="str"/>
      <x:c r="D7" s="12" t="str">
        <x:v>Strict public LinkedIn company/role match</x:v>
      </x:c>
      <x:c r="E7" s="12" t="str"/>
      <x:c r="F7" s="12" t="str"/>
    </x:row>
    <x:row r="8">
      <x:c r="A8" s="12" t="str">
        <x:v>CRM phone/location corrections</x:v>
      </x:c>
      <x:c r="B8" s="12" t="n">
        <x:f>SUMPRODUCT(--('Contact Enrichment'!E2:E36&lt;&gt;'Contact Enrichment'!F2:F36))</x:f>
        <x:v>3</x:v>
      </x:c>
      <x:c r="C8" s="12" t="str"/>
      <x:c r="D8" s="12" t="str">
        <x:v>Rows where verified current phone differs from CRM</x:v>
      </x:c>
      <x:c r="E8" s="12" t="str"/>
      <x:c r="F8" s="12" t="str"/>
    </x:row>
    <x:row r="9">
      <x:c r="A9" s="12" t="str">
        <x:v>Research date</x:v>
      </x:c>
      <x:c r="B9" s="12" t="str">
        <x:v>2026-08-26</x:v>
      </x:c>
      <x:c r="C9" s="12" t="str"/>
      <x:c r="D9" s="12" t="str"/>
      <x:c r="E9" s="12" t="str"/>
      <x:c r="F9" s="12" t="str"/>
    </x:row>
    <x:row r="11">
      <x:c r="A11" s="23" t="str">
        <x:v>Key flags</x:v>
      </x:c>
      <x:c r="B11" s="23"/>
      <x:c r="C11" s="23"/>
      <x:c r="D11" s="23"/>
      <x:c r="E11" s="23"/>
      <x:c r="F11" s="23"/>
    </x:row>
    <x:row r="12">
      <x:c r="A12" s="12" t="str">
        <x:v>U Save Gas &amp; Tackle</x:v>
      </x:c>
      <x:c r="B12" s="12" t="str">
        <x:v>CRM city/phone conflict</x:v>
      </x:c>
      <x:c r="C12" s="12" t="str">
        <x:v>Current Chamber + ODFW place it in Grants Pass and show 541-476-9871</x:v>
      </x:c>
      <x:c r="D12" s="12" t="str"/>
      <x:c r="E12" s="12" t="str"/>
      <x:c r="F12" s="12" t="str"/>
    </x:row>
    <x:row r="13">
      <x:c r="A13" s="12" t="str">
        <x:v>Port of Alsea Dock of the Bay</x:v>
      </x:c>
      <x:c r="B13" s="12" t="str">
        <x:v>Phone refinement</x:v>
      </x:c>
      <x:c r="C13" s="12" t="str">
        <x:v>Retail/marina line is 541-563-2003; CRM phone is the Port office</x:v>
      </x:c>
      <x:c r="D13" s="12" t="str"/>
      <x:c r="E13" s="12" t="str"/>
      <x:c r="F13" s="12" t="str"/>
    </x:row>
    <x:row r="14">
      <x:c r="A14" s="12" t="str">
        <x:v>Sweet Peas Home and Garden</x:v>
      </x:c>
      <x:c r="B14" s="12" t="str">
        <x:v>Phone conflict</x:v>
      </x:c>
      <x:c r="C14" s="12" t="str">
        <x:v>Current Chamber shows 530-517-0238; Chamber Cash still shows 541-329-3967</x:v>
      </x:c>
      <x:c r="D14" s="12" t="str"/>
      <x:c r="E14" s="12" t="str"/>
      <x:c r="F14" s="12" t="str"/>
    </x:row>
    <x:row r="15">
      <x:c r="A15" s="12" t="str">
        <x:v>Second Street Gallery</x:v>
      </x:c>
      <x:c r="B15" s="12" t="str">
        <x:v>Domain correction</x:v>
      </x:c>
      <x:c r="C15" s="12" t="str">
        <x:v>Use secondstreetgallery.net; avoid the unrelated .org site</x:v>
      </x:c>
      <x:c r="D15" s="12" t="str"/>
      <x:c r="E15" s="12" t="str"/>
      <x:c r="F15" s="12" t="str"/>
    </x:row>
    <x:row r="16">
      <x:c r="A16" s="12" t="str">
        <x:v>Lincoln City Sporting Goods</x:v>
      </x:c>
      <x:c r="B16" s="12" t="str">
        <x:v>Ownership correction</x:v>
      </x:c>
      <x:c r="C16" s="12" t="str">
        <x:v>Aaron Linfoot purchased the store effective Jan. 1, 2024</x:v>
      </x:c>
      <x:c r="D16" s="12" t="str"/>
      <x:c r="E16" s="12" t="str"/>
      <x:c r="F16" s="12" t="str"/>
    </x:row>
  </x:sheetData>
  <x:mergeCells>
    <x:mergeCell ref="A1:F1"/>
    <x:mergeCell ref="A11:F11"/>
  </x:mergeCells>
  <x:pageMargins left="0.7" right="0.7" top="0.75" bottom="0.75" header="0.3" footer="0.3"/>
</x:worksheet>
</file>